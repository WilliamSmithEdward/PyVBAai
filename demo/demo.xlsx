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iam\Documents\GitHub\PyVBAai\"/>
    </mc:Choice>
  </mc:AlternateContent>
  <xr:revisionPtr revIDLastSave="0" documentId="8_{9E4F727E-9FBF-412C-80D5-D429EC95B3E3}" xr6:coauthVersionLast="47" xr6:coauthVersionMax="47" xr10:uidLastSave="{00000000-0000-0000-0000-000000000000}"/>
  <bookViews>
    <workbookView xWindow="13980" yWindow="1960" windowWidth="31220" windowHeight="18030" xr2:uid="{00000000-000D-0000-FFFF-FFFF00000000}"/>
  </bookViews>
  <sheets>
    <sheet name="Showcase" sheetId="2" r:id="rId1"/>
  </sheets>
  <definedNames>
    <definedName name="_xlnm._FilterDatabase" localSheetId="0" hidden="1">Showcase!$A$12:$E$18</definedName>
    <definedName name="_xlnm.Print_Area" localSheetId="0">Showcase!$A$1:$H$28</definedName>
    <definedName name="ShowcaseData">Showcase!$A$12:$E$18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D17" i="2"/>
  <c r="E17" i="2" s="1"/>
  <c r="D16" i="2"/>
  <c r="E16" i="2" s="1"/>
  <c r="H15" i="2"/>
  <c r="E15" i="2"/>
  <c r="D15" i="2"/>
  <c r="H14" i="2"/>
  <c r="D14" i="2"/>
  <c r="E14" i="2" s="1"/>
  <c r="H16" i="2" s="1"/>
  <c r="H13" i="2"/>
  <c r="E13" i="2"/>
  <c r="D13" i="2"/>
</calcChain>
</file>

<file path=xl/sharedStrings.xml><?xml version="1.0" encoding="utf-8"?>
<sst xmlns="http://schemas.openxmlformats.org/spreadsheetml/2006/main" count="84" uniqueCount="79">
  <si>
    <t>PyVBAai Excel Showcase</t>
  </si>
  <si>
    <t>A polished demo of worksheet editing, formatting, formulas, tables, charts, named ranges, filters, panes, print setup, and VBA guidance.</t>
  </si>
  <si>
    <t>Feature Area</t>
  </si>
  <si>
    <t>Example</t>
  </si>
  <si>
    <t>What changed</t>
  </si>
  <si>
    <t>Why it matters</t>
  </si>
  <si>
    <t>Excel capability</t>
  </si>
  <si>
    <t>Notes</t>
  </si>
  <si>
    <t>Status</t>
  </si>
  <si>
    <t>Audience impact</t>
  </si>
  <si>
    <t>Formatting</t>
  </si>
  <si>
    <t>Styled headers, fills, borders, fonts</t>
  </si>
  <si>
    <t>Applied workbook-style presentation</t>
  </si>
  <si>
    <t>Makes sheets easier to read</t>
  </si>
  <si>
    <t>Cell formatting</t>
  </si>
  <si>
    <t>Colors, alignment, wrapping</t>
  </si>
  <si>
    <t>Ready</t>
  </si>
  <si>
    <t>High visual polish</t>
  </si>
  <si>
    <t>Formulas</t>
  </si>
  <si>
    <t>Revenue, cost, profit, margin</t>
  </si>
  <si>
    <t>Inserted live Excel formulas</t>
  </si>
  <si>
    <t>Keeps calculations dynamic</t>
  </si>
  <si>
    <t>Formula authoring</t>
  </si>
  <si>
    <t>Standard Excel syntax</t>
  </si>
  <si>
    <t>Shows automation</t>
  </si>
  <si>
    <t>Table</t>
  </si>
  <si>
    <t>Structured sales dataset</t>
  </si>
  <si>
    <t>Created Excel table object</t>
  </si>
  <si>
    <t>Improves filtering and references</t>
  </si>
  <si>
    <t>ListObject table</t>
  </si>
  <si>
    <t>Built-in table style</t>
  </si>
  <si>
    <t>Professional data model</t>
  </si>
  <si>
    <t>Chart</t>
  </si>
  <si>
    <t>Monthly performance chart</t>
  </si>
  <si>
    <t>Inserted chart from data range</t>
  </si>
  <si>
    <t>Turns data into a story</t>
  </si>
  <si>
    <t>Native chart creation</t>
  </si>
  <si>
    <t>Anchored on sheet</t>
  </si>
  <si>
    <t>Great for demos</t>
  </si>
  <si>
    <t>Layout</t>
  </si>
  <si>
    <t>Freeze panes, zoom, print area</t>
  </si>
  <si>
    <t>Configured sheet usability</t>
  </si>
  <si>
    <t>Better navigation and printing</t>
  </si>
  <si>
    <t>Worksheet view setup</t>
  </si>
  <si>
    <t>Presentation-friendly</t>
  </si>
  <si>
    <t>Feels production-ready</t>
  </si>
  <si>
    <t>VBA</t>
  </si>
  <si>
    <t>Macro module with comments</t>
  </si>
  <si>
    <t>Added complete sample VBA</t>
  </si>
  <si>
    <t>Extends beyond cell edits</t>
  </si>
  <si>
    <t>Macro generation</t>
  </si>
  <si>
    <t>Copy/paste ready code</t>
  </si>
  <si>
    <t>Shows developer depth</t>
  </si>
  <si>
    <t>Month</t>
  </si>
  <si>
    <t>Revenue</t>
  </si>
  <si>
    <t>Cost</t>
  </si>
  <si>
    <t>Profit</t>
  </si>
  <si>
    <t>Margin</t>
  </si>
  <si>
    <t>KPI</t>
  </si>
  <si>
    <t>Value</t>
  </si>
  <si>
    <t>Jan</t>
  </si>
  <si>
    <t>Total Revenue</t>
  </si>
  <si>
    <t>Feb</t>
  </si>
  <si>
    <t>Total Cost</t>
  </si>
  <si>
    <t>Mar</t>
  </si>
  <si>
    <t>Total Profit</t>
  </si>
  <si>
    <t>Apr</t>
  </si>
  <si>
    <t>Avg Margin</t>
  </si>
  <si>
    <t>May</t>
  </si>
  <si>
    <t>Jun</t>
  </si>
  <si>
    <t>Commentary / What this demo shows</t>
  </si>
  <si>
    <t>• I can create and rename sheets, move them, copy them, hide/unhide them, and organize workbook structure.</t>
  </si>
  <si>
    <t>• I can write values, formulas, and ranges in standard Excel syntax while preserving workbook context.</t>
  </si>
  <si>
    <t>• I can apply rich formatting: fonts, sizes, colors, fills, borders, alignment, wrapping, and number formats.</t>
  </si>
  <si>
    <t>• I can build Excel tables, named ranges, filters, freeze panes, print areas, zoom settings, and tab colors.</t>
  </si>
  <si>
    <t>• I can create native charts from worksheet data for polished reporting and dashboard-style presentations.</t>
  </si>
  <si>
    <t>• I can generate complete VBA modules with detailed comments for automation, reporting, cleanup, and workflows.</t>
  </si>
  <si>
    <t>• I can also help design templates, trackers, financial models, operational sheets, and presentation-ready outputs.</t>
  </si>
  <si>
    <t>• This sheet is intentionally styled as a public-repo showcase to demonstrate breadth and polish.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</si>
</sst>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</font>
    <font>
      <i/>
      <sz val="11"/>
      <color rgb="FF1F1F1F"/>
      <name val="Calibri"/>
    </font>
    <font>
      <b/>
      <sz val="11"/>
      <color rgb="FFFFFFFF"/>
      <name val="Aptos Narrow"/>
    </font>
    <font>
      <b/>
      <sz val="11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F3F0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0" fillId="8" borderId="1" xfId="0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Monthly Revenue, Cost, and Profit</a:t>
            </a:r>
          </a:p>
        </c:rich>
      </c:tx>
      <c:layout>
        <c:manualLayout>
          <c:xMode val="edge"/>
          <c:yMode val="edge"/>
          <c:x val="0.31512784485862755"/>
          <c:y val="5.362463096120110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Showcase!$B$12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Showcase!$A$13:$A$18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Showcase!$B$13:$B$18</c:f>
              <c:numCache>
                <c:formatCode>\$#,##0</c:formatCode>
                <c:ptCount val="6"/>
                <c:pt idx="0">
                  <c:v>125000</c:v>
                </c:pt>
                <c:pt idx="1">
                  <c:v>132500</c:v>
                </c:pt>
                <c:pt idx="2">
                  <c:v>141000</c:v>
                </c:pt>
                <c:pt idx="3">
                  <c:v>138750</c:v>
                </c:pt>
                <c:pt idx="4">
                  <c:v>149500</c:v>
                </c:pt>
                <c:pt idx="5">
                  <c:v>156250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2-434B-A060-DB0E3DD0BDFB}"/>
            </c:ext>
          </c:extLst>
        </c:ser>
        <c:ser>
          <c:idx val="1"/>
          <c:order val="1"/>
          <c:tx>
            <c:strRef>
              <c:f>Showcase!$C$12</c:f>
              <c:strCache>
                <c:ptCount val="1"/>
                <c:pt idx="0">
                  <c:v>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Showcase!$A$13:$A$18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Showcase!$C$13:$C$18</c:f>
              <c:numCache>
                <c:formatCode>\$#,##0</c:formatCode>
                <c:ptCount val="6"/>
                <c:pt idx="0">
                  <c:v>83000</c:v>
                </c:pt>
                <c:pt idx="1">
                  <c:v>84500</c:v>
                </c:pt>
                <c:pt idx="2">
                  <c:v>90250</c:v>
                </c:pt>
                <c:pt idx="3">
                  <c:v>88750</c:v>
                </c:pt>
                <c:pt idx="4">
                  <c:v>93100</c:v>
                </c:pt>
                <c:pt idx="5">
                  <c:v>97800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2-434B-A060-DB0E3DD0BDFB}"/>
            </c:ext>
          </c:extLst>
        </c:ser>
        <c:ser>
          <c:idx val="2"/>
          <c:order val="2"/>
          <c:tx>
            <c:strRef>
              <c:f>Showcase!$D$12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Showcase!$A$13:$A$18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Showcase!$D$13:$D$18</c:f>
              <c:numCache>
                <c:formatCode>\$#,##0</c:formatCode>
                <c:ptCount val="6"/>
                <c:pt idx="0">
                  <c:v>42000</c:v>
                </c:pt>
                <c:pt idx="1">
                  <c:v>48000</c:v>
                </c:pt>
                <c:pt idx="2">
                  <c:v>50750</c:v>
                </c:pt>
                <c:pt idx="3">
                  <c:v>50000</c:v>
                </c:pt>
                <c:pt idx="4">
                  <c:v>56400</c:v>
                </c:pt>
                <c:pt idx="5">
                  <c:v>58450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2-434B-A060-DB0E3DD0B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91722</xdr:colOff>
      <xdr:row>1</xdr:row>
      <xdr:rowOff>91722</xdr:rowOff>
    </xdr:from>
    <xdr:ext cx="9045221" cy="71049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28"/>
  <sheetViews>
    <sheetView tabSelected="1" zoomScale="90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8" customWidth="1"/>
    <col min="2" max="5" width="14" customWidth="1"/>
    <col min="6" max="7" width="16" customWidth="1"/>
    <col min="8" max="8" width="18" customWidth="1"/>
  </cols>
  <sheetData>
    <row r="1" spans="1:8" ht="28" customHeight="1" x14ac:dyDescent="0.35">
      <c r="A1" s="14" t="s">
        <v>0</v>
      </c>
      <c r="B1" s="12"/>
      <c r="C1" s="12"/>
      <c r="D1" s="12"/>
      <c r="E1" s="12"/>
      <c r="F1" s="12"/>
      <c r="G1" s="12"/>
      <c r="H1" s="12"/>
    </row>
    <row r="2" spans="1:8" ht="36" customHeight="1" x14ac:dyDescent="0.35">
      <c r="A2" s="11" t="s">
        <v>1</v>
      </c>
      <c r="B2" s="12"/>
      <c r="C2" s="12"/>
      <c r="D2" s="12"/>
      <c r="E2" s="12"/>
      <c r="F2" s="12"/>
      <c r="G2" s="12"/>
      <c r="H2" s="12"/>
    </row>
    <row r="4" spans="1:8" ht="2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3.5" x14ac:dyDescent="0.3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43.5" x14ac:dyDescent="0.3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16</v>
      </c>
      <c r="H6" s="2" t="s">
        <v>24</v>
      </c>
    </row>
    <row r="7" spans="1:8" ht="43.5" x14ac:dyDescent="0.3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16</v>
      </c>
      <c r="H7" s="2" t="s">
        <v>31</v>
      </c>
    </row>
    <row r="8" spans="1:8" ht="43.5" x14ac:dyDescent="0.3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16</v>
      </c>
      <c r="H8" s="2" t="s">
        <v>38</v>
      </c>
    </row>
    <row r="9" spans="1:8" ht="43.5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16</v>
      </c>
      <c r="H9" s="2" t="s">
        <v>45</v>
      </c>
    </row>
    <row r="10" spans="1:8" ht="29" x14ac:dyDescent="0.3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16</v>
      </c>
      <c r="H10" s="2" t="s">
        <v>52</v>
      </c>
    </row>
    <row r="12" spans="1:8" x14ac:dyDescent="0.35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G12" s="4" t="s">
        <v>58</v>
      </c>
      <c r="H12" s="4" t="s">
        <v>59</v>
      </c>
    </row>
    <row r="13" spans="1:8" x14ac:dyDescent="0.35">
      <c r="A13" s="5" t="s">
        <v>60</v>
      </c>
      <c r="B13" s="6">
        <v>125000</v>
      </c>
      <c r="C13" s="6">
        <v>83000</v>
      </c>
      <c r="D13" s="6">
        <f t="shared" ref="D13:D18" si="0">B13-C13</f>
        <v>42000</v>
      </c>
      <c r="E13" s="7">
        <f t="shared" ref="E13:E18" si="1">D13/B13</f>
        <v>0.33600000000000002</v>
      </c>
      <c r="G13" s="8" t="s">
        <v>61</v>
      </c>
      <c r="H13" s="9">
        <f>SUM(B13:B18)</f>
        <v>843000</v>
      </c>
    </row>
    <row r="14" spans="1:8" x14ac:dyDescent="0.35">
      <c r="A14" s="5" t="s">
        <v>62</v>
      </c>
      <c r="B14" s="6">
        <v>132500</v>
      </c>
      <c r="C14" s="6">
        <v>84500</v>
      </c>
      <c r="D14" s="6">
        <f t="shared" si="0"/>
        <v>48000</v>
      </c>
      <c r="E14" s="7">
        <f t="shared" si="1"/>
        <v>0.3622641509433962</v>
      </c>
      <c r="G14" s="8" t="s">
        <v>63</v>
      </c>
      <c r="H14" s="9">
        <f>SUM(C13:C18)</f>
        <v>537400</v>
      </c>
    </row>
    <row r="15" spans="1:8" x14ac:dyDescent="0.35">
      <c r="A15" s="5" t="s">
        <v>64</v>
      </c>
      <c r="B15" s="6">
        <v>141000</v>
      </c>
      <c r="C15" s="6">
        <v>90250</v>
      </c>
      <c r="D15" s="6">
        <f t="shared" si="0"/>
        <v>50750</v>
      </c>
      <c r="E15" s="7">
        <f t="shared" si="1"/>
        <v>0.35992907801418439</v>
      </c>
      <c r="G15" s="8" t="s">
        <v>65</v>
      </c>
      <c r="H15" s="9">
        <f>SUM(D13:D18)</f>
        <v>305600</v>
      </c>
    </row>
    <row r="16" spans="1:8" x14ac:dyDescent="0.35">
      <c r="A16" s="5" t="s">
        <v>66</v>
      </c>
      <c r="B16" s="6">
        <v>138750</v>
      </c>
      <c r="C16" s="6">
        <v>88750</v>
      </c>
      <c r="D16" s="6">
        <f t="shared" si="0"/>
        <v>50000</v>
      </c>
      <c r="E16" s="7">
        <f t="shared" si="1"/>
        <v>0.36036036036036034</v>
      </c>
      <c r="G16" s="8" t="s">
        <v>67</v>
      </c>
      <c r="H16" s="10">
        <f>AVERAGE(E13:E18)</f>
        <v>0.36164851906692547</v>
      </c>
    </row>
    <row r="17" spans="1:8" x14ac:dyDescent="0.35">
      <c r="A17" s="5" t="s">
        <v>68</v>
      </c>
      <c r="B17" s="6">
        <v>149500</v>
      </c>
      <c r="C17" s="6">
        <v>93100</v>
      </c>
      <c r="D17" s="6">
        <f t="shared" si="0"/>
        <v>56400</v>
      </c>
      <c r="E17" s="7">
        <f t="shared" si="1"/>
        <v>0.37725752508361204</v>
      </c>
    </row>
    <row r="18" spans="1:8" x14ac:dyDescent="0.35">
      <c r="A18" s="5" t="s">
        <v>69</v>
      </c>
      <c r="B18" s="6">
        <v>156250</v>
      </c>
      <c r="C18" s="6">
        <v>97800</v>
      </c>
      <c r="D18" s="6">
        <f t="shared" si="0"/>
        <v>58450</v>
      </c>
      <c r="E18" s="7">
        <f t="shared" si="1"/>
        <v>0.37408000000000002</v>
      </c>
    </row>
    <row r="20" spans="1:8" x14ac:dyDescent="0.35">
      <c r="A20" s="15" t="s">
        <v>70</v>
      </c>
      <c r="B20" s="12"/>
      <c r="C20" s="12"/>
      <c r="D20" s="12"/>
      <c r="E20" s="12"/>
      <c r="F20" s="12"/>
      <c r="G20" s="12"/>
      <c r="H20" s="12"/>
    </row>
    <row r="21" spans="1:8" x14ac:dyDescent="0.35">
      <c r="A21" s="13" t="s">
        <v>71</v>
      </c>
      <c r="B21" s="13"/>
      <c r="C21" s="13"/>
      <c r="D21" s="13"/>
      <c r="E21" s="13"/>
      <c r="F21" s="13"/>
      <c r="G21" s="13"/>
      <c r="H21" s="13"/>
    </row>
    <row r="22" spans="1:8" x14ac:dyDescent="0.35">
      <c r="A22" s="13" t="s">
        <v>72</v>
      </c>
      <c r="B22" s="13"/>
      <c r="C22" s="13"/>
      <c r="D22" s="13"/>
      <c r="E22" s="13"/>
      <c r="F22" s="13"/>
      <c r="G22" s="13"/>
      <c r="H22" s="13"/>
    </row>
    <row r="23" spans="1:8" x14ac:dyDescent="0.35">
      <c r="A23" s="13" t="s">
        <v>73</v>
      </c>
      <c r="B23" s="13"/>
      <c r="C23" s="13"/>
      <c r="D23" s="13"/>
      <c r="E23" s="13"/>
      <c r="F23" s="13"/>
      <c r="G23" s="13"/>
      <c r="H23" s="13"/>
    </row>
    <row r="24" spans="1:8" x14ac:dyDescent="0.35">
      <c r="A24" s="13" t="s">
        <v>74</v>
      </c>
      <c r="B24" s="13"/>
      <c r="C24" s="13"/>
      <c r="D24" s="13"/>
      <c r="E24" s="13"/>
      <c r="F24" s="13"/>
      <c r="G24" s="13"/>
      <c r="H24" s="13"/>
    </row>
    <row r="25" spans="1:8" x14ac:dyDescent="0.35">
      <c r="A25" s="13" t="s">
        <v>75</v>
      </c>
      <c r="B25" s="13"/>
      <c r="C25" s="13"/>
      <c r="D25" s="13"/>
      <c r="E25" s="13"/>
      <c r="F25" s="13"/>
      <c r="G25" s="13"/>
      <c r="H25" s="13"/>
    </row>
    <row r="26" spans="1:8" x14ac:dyDescent="0.35">
      <c r="A26" s="13" t="s">
        <v>76</v>
      </c>
      <c r="B26" s="13"/>
      <c r="C26" s="13"/>
      <c r="D26" s="13"/>
      <c r="E26" s="13"/>
      <c r="F26" s="13"/>
      <c r="G26" s="13"/>
      <c r="H26" s="13"/>
    </row>
    <row r="27" spans="1:8" x14ac:dyDescent="0.35">
      <c r="A27" s="13" t="s">
        <v>77</v>
      </c>
      <c r="B27" s="13"/>
      <c r="C27" s="13"/>
      <c r="D27" s="13"/>
      <c r="E27" s="13"/>
      <c r="F27" s="13"/>
      <c r="G27" s="13"/>
      <c r="H27" s="13"/>
    </row>
    <row r="28" spans="1:8" x14ac:dyDescent="0.35">
      <c r="A28" s="13" t="s">
        <v>78</v>
      </c>
      <c r="B28" s="13"/>
      <c r="C28" s="13"/>
      <c r="D28" s="13"/>
      <c r="E28" s="13"/>
      <c r="F28" s="13"/>
      <c r="G28" s="13"/>
      <c r="H28" s="13"/>
    </row>
  </sheetData>
  <autoFilter ref="A12:E18" xr:uid="{00000000-0009-0000-0000-000001000000}"/>
  <mergeCells count="11">
    <mergeCell ref="A2:H2"/>
    <mergeCell ref="A28:H28"/>
    <mergeCell ref="A1:H1"/>
    <mergeCell ref="A23:H23"/>
    <mergeCell ref="A27:H27"/>
    <mergeCell ref="A22:H22"/>
    <mergeCell ref="A26:H26"/>
    <mergeCell ref="A21:H21"/>
    <mergeCell ref="A25:H25"/>
    <mergeCell ref="A20:H20"/>
    <mergeCell ref="A24:H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Showcase</vt:lpstr>
      <vt:lpstr>Showcase!Print_Area</vt:lpstr>
      <vt:lpstr>ShowcaseData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2026-05-04T06:21:53Z</dcterms:created>
  <dcterms:modified xsi:type="dcterms:W3CDTF">2026-05-04T06:32:21Z</dcterms:modified>
</cp:coreProperties>
</file>